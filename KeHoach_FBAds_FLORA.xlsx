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gân sách &amp; KPI" sheetId="1" state="visible" r:id="rId1"/>
    <sheet xmlns:r="http://schemas.openxmlformats.org/officeDocument/2006/relationships" name="Content Timeline" sheetId="2" state="visible" r:id="rId2"/>
    <sheet xmlns:r="http://schemas.openxmlformats.org/officeDocument/2006/relationships" name="Targeting &amp; Ad Setu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&quot; VND&quot;"/>
    <numFmt numFmtId="165" formatCode="0.0%"/>
    <numFmt numFmtId="166" formatCode="0.0&quot;x&quot;"/>
  </numFmts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b val="1"/>
      <color rgb="00722F01"/>
      <sz val="12"/>
    </font>
    <font>
      <name val="Segoe UI"/>
      <b val="1"/>
      <color rgb="00FFFFFF"/>
      <sz val="10"/>
    </font>
    <font>
      <name val="Segoe UI"/>
      <color rgb="003d2c1e"/>
      <sz val="10"/>
    </font>
    <font>
      <name val="Segoe UI"/>
      <b val="1"/>
      <color rgb="003d2c1e"/>
      <sz val="10"/>
    </font>
  </fonts>
  <fills count="7">
    <fill>
      <patternFill/>
    </fill>
    <fill>
      <patternFill patternType="gray125"/>
    </fill>
    <fill>
      <patternFill patternType="solid">
        <fgColor rgb="00722F01"/>
        <bgColor rgb="00722F01"/>
      </patternFill>
    </fill>
    <fill>
      <patternFill patternType="solid">
        <fgColor rgb="00C59E6C"/>
        <bgColor rgb="00C59E6C"/>
      </patternFill>
    </fill>
    <fill>
      <patternFill patternType="solid">
        <fgColor rgb="00FDFBF7"/>
        <bgColor rgb="00FDFBF7"/>
      </patternFill>
    </fill>
    <fill>
      <patternFill patternType="solid">
        <fgColor rgb="00F3EBE0"/>
        <bgColor rgb="00F3EBE0"/>
      </patternFill>
    </fill>
    <fill>
      <patternFill patternType="solid">
        <fgColor rgb="00FAF8F5"/>
        <bgColor rgb="00FAF8F5"/>
      </patternFill>
    </fill>
  </fills>
  <borders count="4">
    <border>
      <left/>
      <right/>
      <top/>
      <bottom/>
      <diagonal/>
    </border>
    <border>
      <left style="thin">
        <color rgb="00E0D6CD"/>
      </left>
      <right style="thin">
        <color rgb="00E0D6CD"/>
      </right>
      <top style="medium">
        <color rgb="00722F01"/>
      </top>
      <bottom style="medium">
        <color rgb="00722F01"/>
      </bottom>
    </border>
    <border>
      <left style="thin">
        <color rgb="00E0D6CD"/>
      </left>
      <right style="thin">
        <color rgb="00E0D6CD"/>
      </right>
      <top style="thin">
        <color rgb="00E0D6CD"/>
      </top>
      <bottom style="thin">
        <color rgb="00E0D6CD"/>
      </bottom>
    </border>
    <border>
      <top style="thin">
        <color rgb="00E0D6CD"/>
      </top>
      <bottom style="double">
        <color rgb="00722F0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164" fontId="4" fillId="0" borderId="2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center" vertical="center" wrapText="1"/>
    </xf>
    <xf numFmtId="3" fontId="4" fillId="0" borderId="2" applyAlignment="1" pivotButton="0" quotePrefix="0" xfId="0">
      <alignment horizontal="right" vertical="center" wrapText="1"/>
    </xf>
    <xf numFmtId="165" fontId="4" fillId="4" borderId="2" applyAlignment="1" pivotButton="0" quotePrefix="0" xfId="0">
      <alignment horizontal="right" vertical="center" wrapText="1"/>
    </xf>
    <xf numFmtId="166" fontId="4" fillId="0" borderId="2" applyAlignment="1" pivotButton="0" quotePrefix="0" xfId="0">
      <alignment horizontal="right" vertical="center" wrapText="1"/>
    </xf>
    <xf numFmtId="3" fontId="4" fillId="4" borderId="2" applyAlignment="1" pivotButton="0" quotePrefix="0" xfId="0">
      <alignment horizontal="right" vertical="center" wrapText="1"/>
    </xf>
    <xf numFmtId="165" fontId="4" fillId="0" borderId="2" applyAlignment="1" pivotButton="0" quotePrefix="0" xfId="0">
      <alignment horizontal="right" vertical="center" wrapText="1"/>
    </xf>
    <xf numFmtId="0" fontId="5" fillId="5" borderId="3" applyAlignment="1" pivotButton="0" quotePrefix="0" xfId="0">
      <alignment horizontal="left" vertical="center" wrapText="1"/>
    </xf>
    <xf numFmtId="165" fontId="5" fillId="5" borderId="3" applyAlignment="1" pivotButton="0" quotePrefix="0" xfId="0">
      <alignment horizontal="right" vertical="center" wrapText="1"/>
    </xf>
    <xf numFmtId="164" fontId="5" fillId="5" borderId="3" applyAlignment="1" pivotButton="0" quotePrefix="0" xfId="0">
      <alignment horizontal="right" vertical="center" wrapText="1"/>
    </xf>
    <xf numFmtId="0" fontId="5" fillId="5" borderId="3" applyAlignment="1" pivotButton="0" quotePrefix="0" xfId="0">
      <alignment horizontal="center" vertical="center" wrapText="1"/>
    </xf>
    <xf numFmtId="3" fontId="5" fillId="5" borderId="3" applyAlignment="1" pivotButton="0" quotePrefix="0" xfId="0">
      <alignment horizontal="righ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44" customWidth="1" min="2" max="2"/>
    <col width="24" customWidth="1" min="3" max="3"/>
    <col width="16" customWidth="1" min="4" max="4"/>
    <col width="26" customWidth="1" min="5" max="5"/>
  </cols>
  <sheetData>
    <row r="1" ht="40" customHeight="1">
      <c r="A1" s="1" t="inlineStr">
        <is>
          <t>KẾ HOẠCH NGÂN SÁCH &amp; KPI QUẢNG CÁO FACEBOOK ADS - FLORA</t>
        </is>
      </c>
    </row>
    <row r="2"/>
    <row r="3" ht="24" customHeight="1">
      <c r="A3" s="2" t="inlineStr">
        <is>
          <t>I. CHỈ TIÊU &amp; MỤC TIÊU CHIẾN DỊCH</t>
        </is>
      </c>
    </row>
    <row r="4" ht="26" customHeight="1">
      <c r="A4" s="3" t="inlineStr">
        <is>
          <t>Chỉ tiêu</t>
        </is>
      </c>
      <c r="B4" s="3" t="inlineStr">
        <is>
          <t>Công thức / Diễn giải</t>
        </is>
      </c>
      <c r="C4" s="3" t="inlineStr">
        <is>
          <t>Mục tiêu</t>
        </is>
      </c>
      <c r="D4" s="3" t="inlineStr">
        <is>
          <t>Đơn vị</t>
        </is>
      </c>
    </row>
    <row r="5" ht="20" customHeight="1">
      <c r="A5" s="4" t="inlineStr">
        <is>
          <t>Ngân sách quảng cáo</t>
        </is>
      </c>
      <c r="B5" s="4" t="inlineStr">
        <is>
          <t>Tổng ngân sách phân bổ cho chiến dịch FB Ads</t>
        </is>
      </c>
      <c r="C5" s="5" t="n">
        <v>30000000</v>
      </c>
      <c r="D5" s="6" t="inlineStr">
        <is>
          <t>VND</t>
        </is>
      </c>
    </row>
    <row r="6" ht="20" customHeight="1">
      <c r="A6" s="7" t="inlineStr">
        <is>
          <t>Học phí khóa học</t>
        </is>
      </c>
      <c r="B6" s="7" t="inlineStr">
        <is>
          <t>Học phí gốc / suất học thực hành Hands-on</t>
        </is>
      </c>
      <c r="C6" s="8" t="n">
        <v>25000000</v>
      </c>
      <c r="D6" s="9" t="inlineStr">
        <is>
          <t>VND</t>
        </is>
      </c>
    </row>
    <row r="7" ht="20" customHeight="1">
      <c r="A7" s="4" t="inlineStr">
        <is>
          <t>Doanh thu mục tiêu</t>
        </is>
      </c>
      <c r="B7" s="4" t="inlineStr">
        <is>
          <t>Mục tiêu doanh thu tối thiểu đề ra</t>
        </is>
      </c>
      <c r="C7" s="5" t="n">
        <v>500000000</v>
      </c>
      <c r="D7" s="6" t="inlineStr">
        <is>
          <t>VND</t>
        </is>
      </c>
    </row>
    <row r="8" ht="20" customHeight="1">
      <c r="A8" s="7" t="inlineStr">
        <is>
          <t>Mục tiêu học viên</t>
        </is>
      </c>
      <c r="B8" s="7" t="inlineStr">
        <is>
          <t>Doanh thu mục tiêu / Học phí (Formula)</t>
        </is>
      </c>
      <c r="C8" s="10">
        <f>C7/C6</f>
        <v/>
      </c>
      <c r="D8" s="9" t="inlineStr">
        <is>
          <t>Học viên</t>
        </is>
      </c>
    </row>
    <row r="9" ht="20" customHeight="1">
      <c r="A9" s="4" t="inlineStr">
        <is>
          <t>CPL mục tiêu</t>
        </is>
      </c>
      <c r="B9" s="4" t="inlineStr">
        <is>
          <t>Chi phí tối đa trên 1 Form Lead đăng ký</t>
        </is>
      </c>
      <c r="C9" s="5" t="n">
        <v>180000</v>
      </c>
      <c r="D9" s="6" t="inlineStr">
        <is>
          <t>VND</t>
        </is>
      </c>
    </row>
    <row r="10" ht="20" customHeight="1">
      <c r="A10" s="7" t="inlineStr">
        <is>
          <t>Dự kiến Form lead</t>
        </is>
      </c>
      <c r="B10" s="7" t="inlineStr">
        <is>
          <t>Ngân sách quảng cáo / CPL mục tiêu (Formula)</t>
        </is>
      </c>
      <c r="C10" s="10">
        <f>C5/C9</f>
        <v/>
      </c>
      <c r="D10" s="9" t="inlineStr">
        <is>
          <t>Leads</t>
        </is>
      </c>
    </row>
    <row r="11" ht="20" customHeight="1">
      <c r="A11" s="4" t="inlineStr">
        <is>
          <t>Tỷ lệ chốt mục tiêu</t>
        </is>
      </c>
      <c r="B11" s="4" t="inlineStr">
        <is>
          <t>Mục tiêu học viên / Dự kiến Form Lead (Formula)</t>
        </is>
      </c>
      <c r="C11" s="11">
        <f>C8/C10</f>
        <v/>
      </c>
      <c r="D11" s="6" t="inlineStr">
        <is>
          <t>%</t>
        </is>
      </c>
    </row>
    <row r="12" ht="20" customHeight="1">
      <c r="A12" s="7" t="inlineStr">
        <is>
          <t>ROAS mục tiêu</t>
        </is>
      </c>
      <c r="B12" s="7" t="inlineStr">
        <is>
          <t>Doanh thu mục tiêu / Ngân sách quảng cáo (Formula)</t>
        </is>
      </c>
      <c r="C12" s="12">
        <f>C7/C5</f>
        <v/>
      </c>
      <c r="D12" s="9" t="inlineStr">
        <is>
          <t>Lần</t>
        </is>
      </c>
    </row>
    <row r="13"/>
    <row r="14"/>
    <row r="15" ht="24" customHeight="1">
      <c r="A15" s="2" t="inlineStr">
        <is>
          <t>II. PHÂN BỔ NGÂN SÁCH THEO MỤC TIÊU CHIẾN DỊCH</t>
        </is>
      </c>
    </row>
    <row r="16" ht="26" customHeight="1">
      <c r="A16" s="3" t="inlineStr">
        <is>
          <t>Mục tiêu chiến dịch</t>
        </is>
      </c>
      <c r="B16" s="3" t="inlineStr">
        <is>
          <t>Tỷ lệ ngân sách</t>
        </is>
      </c>
      <c r="C16" s="3" t="inlineStr">
        <is>
          <t>Ngân sách phân bổ</t>
        </is>
      </c>
      <c r="D16" s="3" t="inlineStr">
        <is>
          <t>CPL dự kiến</t>
        </is>
      </c>
      <c r="E16" s="3" t="inlineStr">
        <is>
          <t>KPI Lead / Tương tác dự kiến</t>
        </is>
      </c>
    </row>
    <row r="17" ht="20" customHeight="1">
      <c r="A17" s="4" t="inlineStr">
        <is>
          <t>1. Facebook Lead Form (Direct Sale)</t>
        </is>
      </c>
      <c r="B17" s="11" t="n">
        <v>0.7</v>
      </c>
      <c r="C17" s="5">
        <f>C5*B17</f>
        <v/>
      </c>
      <c r="D17" s="5" t="n">
        <v>180000</v>
      </c>
      <c r="E17" s="13">
        <f>C17/D17</f>
        <v/>
      </c>
    </row>
    <row r="18" ht="20" customHeight="1">
      <c r="A18" s="7" t="inlineStr">
        <is>
          <t>2. Web Conversion (Landing Page View/Form)</t>
        </is>
      </c>
      <c r="B18" s="14" t="n">
        <v>0.2</v>
      </c>
      <c r="C18" s="8">
        <f>C5*B18</f>
        <v/>
      </c>
      <c r="D18" s="8" t="n">
        <v>240000</v>
      </c>
      <c r="E18" s="10">
        <f>C18/D18</f>
        <v/>
      </c>
    </row>
    <row r="19" ht="20" customHeight="1">
      <c r="A19" s="4" t="inlineStr">
        <is>
          <t>3. Engagement (Nhắn tin tư vấn / Tương tác)</t>
        </is>
      </c>
      <c r="B19" s="11" t="n">
        <v>0.1</v>
      </c>
      <c r="C19" s="5">
        <f>C5*B19</f>
        <v/>
      </c>
      <c r="D19" s="5" t="n">
        <v>120000</v>
      </c>
      <c r="E19" s="13">
        <f>C19/D19</f>
        <v/>
      </c>
    </row>
    <row r="20" ht="22" customHeight="1">
      <c r="A20" s="15" t="inlineStr">
        <is>
          <t>Tổng cộng</t>
        </is>
      </c>
      <c r="B20" s="16">
        <f>SUM(B17:B19)</f>
        <v/>
      </c>
      <c r="C20" s="17">
        <f>SUM(C17:C19)</f>
        <v/>
      </c>
      <c r="D20" s="18" t="inlineStr">
        <is>
          <t>-</t>
        </is>
      </c>
      <c r="E20" s="19">
        <f>SUM(E17:E19)</f>
        <v/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2" customWidth="1" min="3" max="3"/>
    <col width="44" customWidth="1" min="4" max="4"/>
    <col width="40" customWidth="1" min="5" max="5"/>
    <col width="44" customWidth="1" min="6" max="6"/>
  </cols>
  <sheetData>
    <row r="1" ht="40" customHeight="1">
      <c r="A1" s="1" t="inlineStr">
        <is>
          <t>KẾ HOẠCH NỘI DUNG CONTENT ADS THEO GIAI ĐOẠN (TIMELINE)</t>
        </is>
      </c>
    </row>
    <row r="2"/>
    <row r="3" ht="26" customHeight="1">
      <c r="A3" s="3" t="inlineStr">
        <is>
          <t>Giai đoạn</t>
        </is>
      </c>
      <c r="B3" s="3" t="inlineStr">
        <is>
          <t>Thời gian</t>
        </is>
      </c>
      <c r="C3" s="3" t="inlineStr">
        <is>
          <t>Mục tiêu Angle</t>
        </is>
      </c>
      <c r="D3" s="3" t="inlineStr">
        <is>
          <t>Chủ đề content quảng cáo</t>
        </is>
      </c>
      <c r="E3" s="3" t="inlineStr">
        <is>
          <t>Định dạng gợi ý</t>
        </is>
      </c>
      <c r="F3" s="3" t="inlineStr">
        <is>
          <t>Thông điệp chính (Key Message)</t>
        </is>
      </c>
    </row>
    <row r="4" ht="50" customHeight="1">
      <c r="A4" s="6" t="inlineStr">
        <is>
          <t>Giai đoạn 1:
Awareness &amp; Warm-up
(Giáo dục nỗi đau)</t>
        </is>
      </c>
      <c r="B4" s="6" t="inlineStr">
        <is>
          <t>Tuần 1
(Ngày 1 - 7)</t>
        </is>
      </c>
      <c r="C4" s="4" t="inlineStr">
        <is>
          <t>Nhận diện lỗi lo biến chứng</t>
        </is>
      </c>
      <c r="D4" s="4" t="inlineStr">
        <is>
          <t>Mổ xẻ các nguy cơ chạm dây thần kinh răng dưới, thủng xoang hàm khi đặt implant thiếu chuyên sâu.</t>
        </is>
      </c>
      <c r="E4" s="6" t="inlineStr">
        <is>
          <t>Video 3D mô phỏng biến chứng + Lời khuyên lâm sàng từ TS.BS Cao Hữu Tiến.</t>
        </is>
      </c>
      <c r="F4" s="4" t="inlineStr">
        <is>
          <t>"Phẫu thuật Implant an toàn: Thấu suốt giải phẫu để làm chủ biến chứng lâm sàng."</t>
        </is>
      </c>
    </row>
    <row r="5" ht="50" customHeight="1">
      <c r="A5" s="6" t="inlineStr">
        <is>
          <t>Giai đoạn 1:
Awareness &amp; Warm-up
(Giáo dục nỗi đau)</t>
        </is>
      </c>
      <c r="B5" s="6" t="inlineStr">
        <is>
          <t>Tuần 1
(Ngày 1 - 7)</t>
        </is>
      </c>
      <c r="C5" s="4" t="inlineStr">
        <is>
          <t>Thực hành lâm sàng</t>
        </is>
      </c>
      <c r="D5" s="4" t="inlineStr">
        <is>
          <t>Đánh trúng tâm lý 'học nhiều nhưng không dám làm' do thiếu thực hành hands-on cọ xát lực thật.</t>
        </is>
      </c>
      <c r="E5" s="6" t="inlineStr">
        <is>
          <t>Hình ảnh thực tế học viên khóa trước trực tiếp đặt trụ trên xương hàm heo.</t>
        </is>
      </c>
      <c r="F5" s="4" t="inlineStr">
        <is>
          <t>"Vượt qua rào cản lý thuyết: Tự tay cấy ghép, cảm nhận lực ren thực hành lâm sàng."</t>
        </is>
      </c>
    </row>
    <row r="6" ht="50" customHeight="1">
      <c r="A6" s="6" t="inlineStr">
        <is>
          <t>Giai đoạn 1:
Awareness &amp; Warm-up
(Giáo dục nỗi đau)</t>
        </is>
      </c>
      <c r="B6" s="6" t="inlineStr">
        <is>
          <t>Tuần 1
(Ngày 1 - 7)</t>
        </is>
      </c>
      <c r="C6" s="4" t="inlineStr">
        <is>
          <t>Giá trị pháp lý CME</t>
        </is>
      </c>
      <c r="D6" s="4" t="inlineStr">
        <is>
          <t>Phân tích Luật khám chữa bệnh mới và tầm quan trọng của chứng chỉ CME 140 tiết bổ sung danh mục.</t>
        </is>
      </c>
      <c r="E6" s="6" t="inlineStr">
        <is>
          <t>Bài viết chia sẻ kiến thức pháp lý ngành y + Trích dẫn nghị định.</t>
        </is>
      </c>
      <c r="F6" s="4" t="inlineStr">
        <is>
          <t>"Vững vàng pháp lý phòng khám: Sở hữu chứng chỉ CME 140 tiết chuẩn quy định Bộ Y tế."</t>
        </is>
      </c>
    </row>
    <row r="7" ht="50" customHeight="1">
      <c r="A7" s="20" t="inlineStr">
        <is>
          <t>Giai đoạn 2:
Consideration &amp; Trust
(Tương tác &amp; Chốt Lead)</t>
        </is>
      </c>
      <c r="B7" s="20" t="inlineStr">
        <is>
          <t>Tuần 2 - 3
(Ngày 8 - 21)</t>
        </is>
      </c>
      <c r="C7" s="21" t="inlineStr">
        <is>
          <t>Lộ trình học tối ưu</t>
        </is>
      </c>
      <c r="D7" s="21" t="inlineStr">
        <is>
          <t>Giới thiệu mô hình đào tạo Hybrid tinh gọn: Học lý thuyết online linh hoạt + 6 ngày thực hành tập trung.</t>
        </is>
      </c>
      <c r="E7" s="20" t="inlineStr">
        <is>
          <t>Infographic lộ trình học 2 giai đoạn tinh gọn cho Bác sĩ bận rộn.</t>
        </is>
      </c>
      <c r="F7" s="21" t="inlineStr">
        <is>
          <t>"Lộ trình đào tạo tối ưu: Học lý thuyết linh hoạt, tập trung tối đa 6 ngày thực hành lâm sàng."</t>
        </is>
      </c>
    </row>
    <row r="8" ht="50" customHeight="1">
      <c r="A8" s="20" t="inlineStr">
        <is>
          <t>Giai đoạn 2:
Consideration &amp; Trust
(Tương tác &amp; Chốt Lead)</t>
        </is>
      </c>
      <c r="B8" s="20" t="inlineStr">
        <is>
          <t>Tuần 2 - 3
(Ngày 8 - 21)</t>
        </is>
      </c>
      <c r="C8" s="21" t="inlineStr">
        <is>
          <t>Uy tín Hội đồng chuyên gia</t>
        </is>
      </c>
      <c r="D8" s="21" t="inlineStr">
        <is>
          <t>Profile TS.BS Cao Hữu Tiến (Fellow ITI, Chủ tịch CLB Implant Saigon) và ThS.BS Nguyễn Việt Bách.</t>
        </is>
      </c>
      <c r="E8" s="20" t="inlineStr">
        <is>
          <t>Bài viết chuyên sâu kèm quote chia sẻ tâm huyết từ Hội đồng Giảng viên.</t>
        </is>
      </c>
      <c r="F8" s="21" t="inlineStr">
        <is>
          <t>"Học từ người thực chiến: Nhận chuyển giao kỹ năng cấy ghép từ những phẫu thuật viên đầu ngành."</t>
        </is>
      </c>
    </row>
    <row r="9" ht="50" customHeight="1">
      <c r="A9" s="20" t="inlineStr">
        <is>
          <t>Giai đoạn 2:
Consideration &amp; Trust
(Tương tác &amp; Chốt Lead)</t>
        </is>
      </c>
      <c r="B9" s="20" t="inlineStr">
        <is>
          <t>Tuần 2 - 3
(Ngày 8 - 21)</t>
        </is>
      </c>
      <c r="C9" s="21" t="inlineStr">
        <is>
          <t>Giải pháp tài trợ 100% học phí</t>
        </is>
      </c>
      <c r="D9" s="21" t="inlineStr">
        <is>
          <t>Công bố chính sách tài trợ 100% học phí trị giá 25.000.000 VNĐ khi đăng ký sử dụng 25 trụ ImplantSwiss Thụy Sĩ.</t>
        </is>
      </c>
      <c r="E9" s="20" t="inlineStr">
        <is>
          <t>Carousel hình ảnh chất lượng cao của trụ ImplantSwiss và buổi ký kết đối tác chính hãng.</t>
        </is>
      </c>
      <c r="F9" s="21" t="inlineStr">
        <is>
          <t>"Đặc quyền kép cho Nha khoa: Đổi 25 trụ ImplantThụy Sĩ, nhận ngay học bổng Implant 25 Triệu."</t>
        </is>
      </c>
    </row>
    <row r="10" ht="50" customHeight="1">
      <c r="A10" s="22" t="inlineStr">
        <is>
          <t>Giai đoạn 3:
Decision &amp; Urgency
(Hối thúc đăng ký)</t>
        </is>
      </c>
      <c r="B10" s="22" t="inlineStr">
        <is>
          <t>Tuần 4
(Ngày 22 - 28)</t>
        </is>
      </c>
      <c r="C10" s="23" t="inlineStr">
        <is>
          <t>Giới hạn sĩ số học viên</t>
        </is>
      </c>
      <c r="D10" s="23" t="inlineStr">
        <is>
          <t>Hối thúc bằng việc giới hạn sĩ số lớp học thực hành (chỉ tối đa 20 bác sĩ để đảm bảo kèm 1-1 phòng mổ).</t>
        </is>
      </c>
      <c r="E10" s="22" t="inlineStr">
        <is>
          <t>Hình ảnh đếm ngược suất đăng ký cuối cùng (Ví dụ: "Chỉ còn 3 suất học thực hành Hands-on cuối").</t>
        </is>
      </c>
      <c r="F10" s="23" t="inlineStr">
        <is>
          <t>"Đảm bảo chất lượng kèm 1-1 lâm sàng: Lớp học giới hạn 20 học viên, đăng ký giữ chỗ ngay!"</t>
        </is>
      </c>
    </row>
    <row r="11" ht="50" customHeight="1">
      <c r="A11" s="22" t="inlineStr">
        <is>
          <t>Giai đoạn 3:
Decision &amp; Urgency
(Hối thúc đăng ký)</t>
        </is>
      </c>
      <c r="B11" s="22" t="inlineStr">
        <is>
          <t>Tuần 4
(Ngày 22 - 28)</t>
        </is>
      </c>
      <c r="C11" s="23" t="inlineStr">
        <is>
          <t>Hạn chót ưu đãi tài trợ</t>
        </is>
      </c>
      <c r="D11" s="23" t="inlineStr">
        <is>
          <t>Chốt deal chương trình tài trợ 100% học phí khóa 3 sẽ đóng cổng đăng ký trước ngày khai giảng.</t>
        </is>
      </c>
      <c r="E11" s="22" t="inlineStr">
        <is>
          <t>Hình ảnh đồng hồ đếm ngược + Banner đăng ký khẩn cấp.</t>
        </is>
      </c>
      <c r="F11" s="23" t="inlineStr">
        <is>
          <t>"Cơ hội cuối cùng nhận tài trợ học bổng khóa 3 - Hạn chót đóng cổng đăng ký ngày 31/07."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46" customWidth="1" min="3" max="3"/>
    <col width="24" customWidth="1" min="4" max="4"/>
    <col width="46" customWidth="1" min="5" max="5"/>
  </cols>
  <sheetData>
    <row r="1" ht="40" customHeight="1">
      <c r="A1" s="1" t="inlineStr">
        <is>
          <t>KẾ HOẠCH NHẮM MỤC TIÊU (AUDIENCE TARGETING) &amp; AD SETUP</t>
        </is>
      </c>
    </row>
    <row r="2"/>
    <row r="3" ht="26" customHeight="1">
      <c r="A3" s="3" t="inlineStr">
        <is>
          <t>Nhóm đối tượng</t>
        </is>
      </c>
      <c r="B3" s="3" t="inlineStr">
        <is>
          <t>Độ tuổi &amp; Vị trí</t>
        </is>
      </c>
      <c r="C3" s="3" t="inlineStr">
        <is>
          <t>Nhắm mục tiêu chi tiết (Interests &amp; Demographics)</t>
        </is>
      </c>
      <c r="D3" s="3" t="inlineStr">
        <is>
          <t>Thiết bị &amp; Hành vi</t>
        </is>
      </c>
      <c r="E3" s="3" t="inlineStr">
        <is>
          <t>Creative / Content đề xuất</t>
        </is>
      </c>
    </row>
    <row r="4" ht="110" customHeight="1">
      <c r="A4" s="9" t="inlineStr">
        <is>
          <t>Nhóm 1:
Bác sĩ RHM trẻ / Mới tốt nghiệp</t>
        </is>
      </c>
      <c r="B4" s="9" t="inlineStr">
        <is>
          <t>Độ tuổi: 25 - 34
Vị trí: Toàn quốc (Tập trung Hà Nội, TP.HCM &amp; các tỉnh lân cận)</t>
        </is>
      </c>
      <c r="C4" s="7" t="inlineStr">
        <is>
          <t>Nhân khẩu học (Chức danh):
- Dentist
- Doctor of Medicine (Dental Surgery)
- Bác sĩ Răng Hàm Mặt
- Nha sĩ
Sở thích:
- Implantology (Cấy ghép nha khoa)
- Dentistry (Nha khoa)
- Surgery (Ngoại khoa)</t>
        </is>
      </c>
      <c r="D4" s="9" t="inlineStr">
        <is>
          <t>Thiết bị:
- Smartphone iOS &amp; Android cao cấp
Hành vi:
- Thường xuyên di chuyển
- Quản trị viên trang Facebook</t>
        </is>
      </c>
      <c r="E4" s="7" t="inlineStr">
        <is>
          <t>Video 3D phẫu thuật và thực hành Hands-on sinh động.
Thông điệp: Vượt qua nỗi sợ đặt trụ đầu tiên, tự tin bước vào lâm sàng cấy ghép Implant thực tế.</t>
        </is>
      </c>
    </row>
    <row r="5" ht="110" customHeight="1">
      <c r="A5" s="6" t="inlineStr">
        <is>
          <t>Nhóm 2:
Bác sĩ Lâm Sàng muốn nâng cao</t>
        </is>
      </c>
      <c r="B5" s="6" t="inlineStr">
        <is>
          <t>Độ tuổi: 30 - 45
Vị trí: Toàn quốc</t>
        </is>
      </c>
      <c r="C5" s="4" t="inlineStr">
        <is>
          <t>Sở thích chi tiết:
- Aesthetic dentistry (Nha khoa thẩm mỹ)
- Periodontics (Nha chu)
- Odontology (Răng hàm mặt)
- Orthodontics (Chỉnh nha)
- Oral surgery (Phẫu thuật miệng)
- Dental implant</t>
        </is>
      </c>
      <c r="D5" s="6" t="inlineStr">
        <is>
          <t>Thiết bị: Tất cả thiết bị di động
Hành vi:
- Sử dụng Wifi thường xuyên
- Tương tác với các trang thiết bị y tế nha khoa chuyên sâu.</t>
        </is>
      </c>
      <c r="E5" s="4" t="inlineStr">
        <is>
          <t>Hình ảnh thực tế lớp học CME và đánh giá (Testimonial) từ các bác sĩ khóa trước.
Thông điệp: Chuẩn hóa quy trình đặt trụ an toàn, phục hình chuẩn khớp cắn.</t>
        </is>
      </c>
    </row>
    <row r="6" ht="110" customHeight="1">
      <c r="A6" s="9" t="inlineStr">
        <is>
          <t>Nhóm 3:
Chủ Phòng Khám Nha Khoa</t>
        </is>
      </c>
      <c r="B6" s="9" t="inlineStr">
        <is>
          <t>Độ tuổi: 30 - 50
Vị trí: Toàn quốc</t>
        </is>
      </c>
      <c r="C6" s="7" t="inlineStr">
        <is>
          <t>Sở thích:
- Phòng khám nha khoa
- Quản trị kinh doanh y tế
- Nha khoa thẩm mỹ
- Implant Thụy Sĩ
Hành vi (Quản trị viên):
- Quản trị viên Trang Doanh nghiệp Nha khoa
- Quản trị viên thanh toán quảng cáo Facebook</t>
        </is>
      </c>
      <c r="D6" s="9" t="inlineStr">
        <is>
          <t>Thiết bị: Tất cả thiết bị di động
Hành vi:
- Người dùng thanh toán trên FB
- Nhà quản lý phòng khám chuyên khoa</t>
        </is>
      </c>
      <c r="E6" s="7" t="inlineStr">
        <is>
          <t>Carousel hình ảnh trụ ImplantSwiss cao cấp Thụy Sĩ + Lễ ký kết đối tác chính hãng.
Thông điệp: BRANDSON tài trợ 100% học phí - Tiết kiệm chi phí đào tạo nhân sự, tăng doanh thu phòng khám.</t>
        </is>
      </c>
    </row>
    <row r="7" ht="110" customHeight="1">
      <c r="A7" s="6" t="inlineStr">
        <is>
          <t>Nhóm 4:
Retargeting (Tiếp thị lại)</t>
        </is>
      </c>
      <c r="B7" s="6" t="inlineStr">
        <is>
          <t>Độ tuổi: Không giới hạn
Vị trí: Toàn quốc</t>
        </is>
      </c>
      <c r="C7" s="4" t="inlineStr">
        <is>
          <t>Custom Audiences (Đối tượng tùy chỉnh):
- Đã tương tác với Fanpage (trong 30 ngày)
- Đã xem Video quảng cáo &gt;50% thời lượng
- Đã truy cập website landing page cấy ghép Implant (pixel)</t>
        </is>
      </c>
      <c r="D7" s="6" t="inlineStr">
        <is>
          <t>Thiết bị: Tất cả thiết bị di động
Hành vi: Đã từng click Form Lead nhưng chưa submit thông tin.</t>
        </is>
      </c>
      <c r="E7" s="4" t="inlineStr">
        <is>
          <t>Hình ảnh seal stamp vàng CME 140 tiết + Ưu đãi tài trợ.
Thông điệp: Đừng bỏ lỡ suất tài trợ 100% học phí cuối cùng khóa 3. Hạn đăng ký trước ngày 31/07.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2026-06-10T15:19:45Z</dcterms:created>
  <dcterms:modified xmlns:dcterms="http://purl.org/dc/terms/" xmlns:xsi="http://www.w3.org/2001/XMLSchema-instance" xsi:type="dcterms:W3CDTF">2026-06-10T15:19:45Z</dcterms:modified>
</cp:coreProperties>
</file>